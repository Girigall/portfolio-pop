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ock positions" sheetId="2" state="visible" r:id="rId4"/>
    <sheet name="Options posi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<sst xmlns="http://schemas.openxmlformats.org/spreadsheetml/2006/main" count="145" uniqueCount="93">
  <si>
    <t xml:space="preserve">Robinhood portfolio snapshot</t>
  </si>
  <si>
    <t xml:space="preserve">Data as of market close 2026-07-10, pulled via Robinhood connector</t>
  </si>
  <si>
    <t xml:space="preserve">Account</t>
  </si>
  <si>
    <t xml:space="preserve">Type</t>
  </si>
  <si>
    <t xml:space="preserve">Stocks/ETFs</t>
  </si>
  <si>
    <t xml:space="preserve">Options (mark)</t>
  </si>
  <si>
    <t xml:space="preserve">Crypto</t>
  </si>
  <si>
    <t xml:space="preserve">Cash</t>
  </si>
  <si>
    <t xml:space="preserve">Total value</t>
  </si>
  <si>
    <t xml:space="preserve">Stocks (••••2005)</t>
  </si>
  <si>
    <t xml:space="preserve">Individual, margin</t>
  </si>
  <si>
    <t xml:space="preserve">Cripto (••••8817)</t>
  </si>
  <si>
    <t xml:space="preserve">Individual, cash</t>
  </si>
  <si>
    <t xml:space="preserve">Roth IRA (••••9521)</t>
  </si>
  <si>
    <t xml:space="preserve">IRA, cash</t>
  </si>
  <si>
    <t xml:space="preserve">Options (••••3181)</t>
  </si>
  <si>
    <t xml:space="preserve">Agentic (••••8434)</t>
  </si>
  <si>
    <t xml:space="preserve">Net worth (all accounts)</t>
  </si>
  <si>
    <t xml:space="preserve">Notes</t>
  </si>
  <si>
    <t xml:space="preserve">Blue numbers are values reported by Robinhood at snapshot time (source: get_portfolio per account). Black cells are formulas.</t>
  </si>
  <si>
    <t xml:space="preserve">Crypto shown as account totals only; the connector does not expose individual coins. ~$10.5k in Stocks is staked ETH/SOL pending unstake.</t>
  </si>
  <si>
    <t xml:space="preserve">Margin debit -$20,871.56 sits in the Stocks account. Buying power at snapshot: $5,128.44.</t>
  </si>
  <si>
    <t xml:space="preserve">Options mark value $15.00 is Robinhood's net mark of open structures; see Options tab for leg detail.</t>
  </si>
  <si>
    <t xml:space="preserve">Symbol</t>
  </si>
  <si>
    <t xml:space="preserve">Quantity</t>
  </si>
  <si>
    <t xml:space="preserve">Avg cost ($)</t>
  </si>
  <si>
    <t xml:space="preserve">Last price ($)</t>
  </si>
  <si>
    <t xml:space="preserve">Cost basis ($)</t>
  </si>
  <si>
    <t xml:space="preserve">Market value ($)</t>
  </si>
  <si>
    <t xml:space="preserve">P&amp;L ($)</t>
  </si>
  <si>
    <t xml:space="preserve">P&amp;L (%)</t>
  </si>
  <si>
    <t xml:space="preserve">% of stock assets</t>
  </si>
  <si>
    <t xml:space="preserve">Stocks</t>
  </si>
  <si>
    <t xml:space="preserve">CRCL</t>
  </si>
  <si>
    <t xml:space="preserve">HIMS</t>
  </si>
  <si>
    <t xml:space="preserve">RPD</t>
  </si>
  <si>
    <t xml:space="preserve">BAM</t>
  </si>
  <si>
    <t xml:space="preserve">APLD</t>
  </si>
  <si>
    <t xml:space="preserve">BLSH</t>
  </si>
  <si>
    <t xml:space="preserve">FIG</t>
  </si>
  <si>
    <t xml:space="preserve">TE</t>
  </si>
  <si>
    <t xml:space="preserve">VIXM</t>
  </si>
  <si>
    <t xml:space="preserve">IMSR</t>
  </si>
  <si>
    <t xml:space="preserve">SPCX</t>
  </si>
  <si>
    <t xml:space="preserve">FRMI</t>
  </si>
  <si>
    <t xml:space="preserve">ASST</t>
  </si>
  <si>
    <t xml:space="preserve">VIXY</t>
  </si>
  <si>
    <t xml:space="preserve">POET</t>
  </si>
  <si>
    <t xml:space="preserve">TSEM</t>
  </si>
  <si>
    <t xml:space="preserve">NBIS</t>
  </si>
  <si>
    <t xml:space="preserve">UVIX</t>
  </si>
  <si>
    <t xml:space="preserve">BMNR</t>
  </si>
  <si>
    <t xml:space="preserve">NVTS</t>
  </si>
  <si>
    <t xml:space="preserve">MARA</t>
  </si>
  <si>
    <t xml:space="preserve">IREN</t>
  </si>
  <si>
    <t xml:space="preserve">GLXY</t>
  </si>
  <si>
    <t xml:space="preserve">CLSK</t>
  </si>
  <si>
    <t xml:space="preserve">EOSE</t>
  </si>
  <si>
    <t xml:space="preserve">AAPL</t>
  </si>
  <si>
    <t xml:space="preserve">HIVE</t>
  </si>
  <si>
    <t xml:space="preserve">EOSER</t>
  </si>
  <si>
    <t xml:space="preserve">Roth IRA</t>
  </si>
  <si>
    <t xml:space="preserve">COPX</t>
  </si>
  <si>
    <t xml:space="preserve">PPLT</t>
  </si>
  <si>
    <t xml:space="preserve">PICK</t>
  </si>
  <si>
    <t xml:space="preserve">Total</t>
  </si>
  <si>
    <t xml:space="preserve">Prices are last regular-session trades, 2026-07-10 (source: Robinhood quotes). EOSER is a rights instrument with no cost basis.</t>
  </si>
  <si>
    <t xml:space="preserve">Structure</t>
  </si>
  <si>
    <t xml:space="preserve">Underlying</t>
  </si>
  <si>
    <t xml:space="preserve">Expiry</t>
  </si>
  <si>
    <t xml:space="preserve">Strike</t>
  </si>
  <si>
    <t xml:space="preserve">Side</t>
  </si>
  <si>
    <t xml:space="preserve">Qty</t>
  </si>
  <si>
    <t xml:space="preserve">Avg price ($)</t>
  </si>
  <si>
    <t xml:space="preserve">Mark ($)</t>
  </si>
  <si>
    <t xml:space="preserve">Open P&amp;L ($)</t>
  </si>
  <si>
    <t xml:space="preserve">Max loss ($)</t>
  </si>
  <si>
    <t xml:space="preserve">Put credit spread</t>
  </si>
  <si>
    <t xml:space="preserve">SPX</t>
  </si>
  <si>
    <t xml:space="preserve">2026-07-17</t>
  </si>
  <si>
    <t xml:space="preserve">Put</t>
  </si>
  <si>
    <t xml:space="preserve">Short</t>
  </si>
  <si>
    <t xml:space="preserve">Long</t>
  </si>
  <si>
    <t xml:space="preserve">Broken-wing put fly</t>
  </si>
  <si>
    <t xml:space="preserve">SPXW</t>
  </si>
  <si>
    <t xml:space="preserve">2026-07-29</t>
  </si>
  <si>
    <t xml:space="preserve">Long call</t>
  </si>
  <si>
    <t xml:space="preserve">XOVR</t>
  </si>
  <si>
    <t xml:space="preserve">Call</t>
  </si>
  <si>
    <t xml:space="preserve">Max loss per structure (blue, computed off-sheet): SPX 7360/7340 spread = (20 width - 2.10 credit) x 100 x 3 = $5,370.</t>
  </si>
  <si>
    <t xml:space="preserve">SPXW fly = worst case below 7200: payoff -25 pts x 100 x 1 wait-adjusted with $425 net credit = $2,075. XOVR = premium paid $350.</t>
  </si>
  <si>
    <t xml:space="preserve">P&amp;L convention: short legs profit when mark falls below avg; long legs profit when mark rises. Marks as of 2026-07-10 20:14 UTC.</t>
  </si>
  <si>
    <t xml:space="preserve">All structures held in the Stocks (margin) account. Options level 3.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</si>
</sst>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#,##0.00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7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50728.93</v>
      </c>
      <c r="D5" s="5" t="n">
        <v>15</v>
      </c>
      <c r="E5" s="5" t="n">
        <v>10487.63</v>
      </c>
      <c r="F5" s="5" t="n">
        <v>-20871.56</v>
      </c>
      <c r="G5" s="6" t="n">
        <f aca="false">SUM(C5:F5)</f>
        <v>40360</v>
      </c>
    </row>
    <row r="6" customFormat="false" ht="15" hidden="false" customHeight="false" outlineLevel="0" collapsed="false">
      <c r="A6" s="4" t="s">
        <v>11</v>
      </c>
      <c r="B6" s="4" t="s">
        <v>12</v>
      </c>
      <c r="C6" s="5" t="n">
        <v>0</v>
      </c>
      <c r="D6" s="5" t="n">
        <v>0</v>
      </c>
      <c r="E6" s="5" t="n">
        <v>33976.03</v>
      </c>
      <c r="F6" s="5" t="n">
        <v>0</v>
      </c>
      <c r="G6" s="6" t="n">
        <f aca="false">SUM(C6:F6)</f>
        <v>33976.03</v>
      </c>
    </row>
    <row r="7" customFormat="false" ht="15" hidden="false" customHeight="false" outlineLevel="0" collapsed="false">
      <c r="A7" s="4" t="s">
        <v>13</v>
      </c>
      <c r="B7" s="4" t="s">
        <v>14</v>
      </c>
      <c r="C7" s="5" t="n">
        <v>7194.84</v>
      </c>
      <c r="D7" s="5" t="n">
        <v>0</v>
      </c>
      <c r="E7" s="5" t="n">
        <v>0</v>
      </c>
      <c r="F7" s="5" t="n">
        <v>15.9</v>
      </c>
      <c r="G7" s="6" t="n">
        <f aca="false">SUM(C7:F7)</f>
        <v>7210.74</v>
      </c>
    </row>
    <row r="8" customFormat="false" ht="15" hidden="false" customHeight="false" outlineLevel="0" collapsed="false">
      <c r="A8" s="4" t="s">
        <v>15</v>
      </c>
      <c r="B8" s="4" t="s">
        <v>12</v>
      </c>
      <c r="C8" s="5" t="n">
        <v>0</v>
      </c>
      <c r="D8" s="5" t="n">
        <v>0</v>
      </c>
      <c r="E8" s="5" t="n">
        <v>0</v>
      </c>
      <c r="F8" s="5" t="n">
        <v>0.1</v>
      </c>
      <c r="G8" s="6" t="n">
        <f aca="false">SUM(C8:F8)</f>
        <v>0.1</v>
      </c>
    </row>
    <row r="9" customFormat="false" ht="15" hidden="false" customHeight="false" outlineLevel="0" collapsed="false">
      <c r="A9" s="4" t="s">
        <v>16</v>
      </c>
      <c r="B9" s="4" t="s">
        <v>12</v>
      </c>
      <c r="C9" s="5" t="n">
        <v>0</v>
      </c>
      <c r="D9" s="5" t="n">
        <v>0</v>
      </c>
      <c r="E9" s="5" t="n">
        <v>0</v>
      </c>
      <c r="F9" s="5" t="n">
        <v>0</v>
      </c>
      <c r="G9" s="6" t="n">
        <f aca="false">SUM(C9:F9)</f>
        <v>0</v>
      </c>
    </row>
    <row r="10" customFormat="false" ht="15" hidden="false" customHeight="false" outlineLevel="0" collapsed="false">
      <c r="A10" s="7" t="s">
        <v>17</v>
      </c>
      <c r="C10" s="8" t="n">
        <f aca="false">SUM(C5:C9)</f>
        <v>57923.77</v>
      </c>
      <c r="D10" s="8" t="n">
        <f aca="false">SUM(D5:D9)</f>
        <v>15</v>
      </c>
      <c r="E10" s="8" t="n">
        <f aca="false">SUM(E5:E9)</f>
        <v>44463.66</v>
      </c>
      <c r="F10" s="8" t="n">
        <f aca="false">SUM(F5:F9)</f>
        <v>-20855.56</v>
      </c>
      <c r="G10" s="8" t="n">
        <f aca="false">SUM(G5:G9)</f>
        <v>81546.87</v>
      </c>
    </row>
    <row r="12" customFormat="false" ht="15" hidden="false" customHeight="false" outlineLevel="0" collapsed="false">
      <c r="A12" s="7" t="s">
        <v>18</v>
      </c>
    </row>
    <row r="13" customFormat="false" ht="15" hidden="false" customHeight="false" outlineLevel="0" collapsed="false">
      <c r="A13" s="2" t="s">
        <v>19</v>
      </c>
    </row>
    <row r="14" customFormat="false" ht="15" hidden="false" customHeight="false" outlineLevel="0" collapsed="false">
      <c r="A14" s="2" t="s">
        <v>20</v>
      </c>
    </row>
    <row r="15" customFormat="false" ht="15" hidden="false" customHeight="false" outlineLevel="0" collapsed="false">
      <c r="A15" s="2" t="s">
        <v>21</v>
      </c>
    </row>
    <row r="16" customFormat="false" ht="15" hidden="false" customHeight="false" outlineLevel="0" collapsed="false">
      <c r="A16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3" t="s">
        <v>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</row>
    <row r="2" customFormat="false" ht="15" hidden="false" customHeight="false" outlineLevel="0" collapsed="false">
      <c r="A2" s="4" t="s">
        <v>32</v>
      </c>
      <c r="B2" s="4" t="s">
        <v>33</v>
      </c>
      <c r="C2" s="9" t="n">
        <v>235</v>
      </c>
      <c r="D2" s="5" t="n">
        <v>94.4</v>
      </c>
      <c r="E2" s="5" t="n">
        <v>66.155</v>
      </c>
      <c r="F2" s="6" t="n">
        <f aca="false">C2*D2</f>
        <v>22184</v>
      </c>
      <c r="G2" s="6" t="n">
        <f aca="false">C2*E2</f>
        <v>15546.425</v>
      </c>
      <c r="H2" s="6" t="n">
        <f aca="false">G2-F2</f>
        <v>-6637.575</v>
      </c>
      <c r="I2" s="10" t="n">
        <f aca="false">IF(F2=0,"n/a",H2/F2)</f>
        <v>-0.299205508474576</v>
      </c>
      <c r="J2" s="10" t="n">
        <f aca="false">G2/$G$33</f>
        <v>0.26902220407435</v>
      </c>
    </row>
    <row r="3" customFormat="false" ht="15" hidden="false" customHeight="false" outlineLevel="0" collapsed="false">
      <c r="A3" s="4" t="s">
        <v>32</v>
      </c>
      <c r="B3" s="4" t="s">
        <v>34</v>
      </c>
      <c r="C3" s="9" t="n">
        <v>200</v>
      </c>
      <c r="D3" s="5" t="n">
        <v>25.8</v>
      </c>
      <c r="E3" s="5" t="n">
        <v>34.405</v>
      </c>
      <c r="F3" s="6" t="n">
        <f aca="false">C3*D3</f>
        <v>5160</v>
      </c>
      <c r="G3" s="6" t="n">
        <f aca="false">C3*E3</f>
        <v>6881</v>
      </c>
      <c r="H3" s="6" t="n">
        <f aca="false">G3-F3</f>
        <v>1721</v>
      </c>
      <c r="I3" s="10" t="n">
        <f aca="false">IF(F3=0,"n/a",H3/F3)</f>
        <v>0.333527131782946</v>
      </c>
      <c r="J3" s="10" t="n">
        <f aca="false">G3/$G$33</f>
        <v>0.119071862903246</v>
      </c>
    </row>
    <row r="4" customFormat="false" ht="15" hidden="false" customHeight="false" outlineLevel="0" collapsed="false">
      <c r="A4" s="4" t="s">
        <v>32</v>
      </c>
      <c r="B4" s="4" t="s">
        <v>35</v>
      </c>
      <c r="C4" s="9" t="n">
        <v>630</v>
      </c>
      <c r="D4" s="5" t="n">
        <v>8.7</v>
      </c>
      <c r="E4" s="5" t="n">
        <v>11.155</v>
      </c>
      <c r="F4" s="6" t="n">
        <f aca="false">C4*D4</f>
        <v>5481</v>
      </c>
      <c r="G4" s="6" t="n">
        <f aca="false">C4*E4</f>
        <v>7027.65</v>
      </c>
      <c r="H4" s="6" t="n">
        <f aca="false">G4-F4</f>
        <v>1546.65</v>
      </c>
      <c r="I4" s="10" t="n">
        <f aca="false">IF(F4=0,"n/a",H4/F4)</f>
        <v>0.282183908045977</v>
      </c>
      <c r="J4" s="10" t="n">
        <f aca="false">G4/$G$33</f>
        <v>0.121609559269292</v>
      </c>
    </row>
    <row r="5" customFormat="false" ht="15" hidden="false" customHeight="false" outlineLevel="0" collapsed="false">
      <c r="A5" s="4" t="s">
        <v>32</v>
      </c>
      <c r="B5" s="4" t="s">
        <v>36</v>
      </c>
      <c r="C5" s="9" t="n">
        <v>100.937959</v>
      </c>
      <c r="D5" s="5" t="n">
        <v>53.73</v>
      </c>
      <c r="E5" s="5" t="n">
        <v>46.735</v>
      </c>
      <c r="F5" s="6" t="n">
        <f aca="false">C5*D5</f>
        <v>5423.39653707</v>
      </c>
      <c r="G5" s="6" t="n">
        <f aca="false">C5*E5</f>
        <v>4717.335513865</v>
      </c>
      <c r="H5" s="6" t="n">
        <f aca="false">G5-F5</f>
        <v>-706.061023204999</v>
      </c>
      <c r="I5" s="10" t="n">
        <f aca="false">IF(F5=0,"n/a",H5/F5)</f>
        <v>-0.130187976921645</v>
      </c>
      <c r="J5" s="10" t="n">
        <f aca="false">G5/$G$33</f>
        <v>0.0816308570811727</v>
      </c>
    </row>
    <row r="6" customFormat="false" ht="15" hidden="false" customHeight="false" outlineLevel="0" collapsed="false">
      <c r="A6" s="4" t="s">
        <v>32</v>
      </c>
      <c r="B6" s="4" t="s">
        <v>37</v>
      </c>
      <c r="C6" s="9" t="n">
        <v>101</v>
      </c>
      <c r="D6" s="5" t="n">
        <v>28.12</v>
      </c>
      <c r="E6" s="5" t="n">
        <v>31.14</v>
      </c>
      <c r="F6" s="6" t="n">
        <f aca="false">C6*D6</f>
        <v>2840.12</v>
      </c>
      <c r="G6" s="6" t="n">
        <f aca="false">C6*E6</f>
        <v>3145.14</v>
      </c>
      <c r="H6" s="6" t="n">
        <f aca="false">G6-F6</f>
        <v>305.02</v>
      </c>
      <c r="I6" s="10" t="n">
        <f aca="false">IF(F6=0,"n/a",H6/F6)</f>
        <v>0.107396870554765</v>
      </c>
      <c r="J6" s="10" t="n">
        <f aca="false">G6/$G$33</f>
        <v>0.0544248915697597</v>
      </c>
    </row>
    <row r="7" customFormat="false" ht="15" hidden="false" customHeight="false" outlineLevel="0" collapsed="false">
      <c r="A7" s="4" t="s">
        <v>32</v>
      </c>
      <c r="B7" s="4" t="s">
        <v>38</v>
      </c>
      <c r="C7" s="9" t="n">
        <v>100</v>
      </c>
      <c r="D7" s="5" t="n">
        <v>35.95</v>
      </c>
      <c r="E7" s="5" t="n">
        <v>24.23</v>
      </c>
      <c r="F7" s="6" t="n">
        <f aca="false">C7*D7</f>
        <v>3595</v>
      </c>
      <c r="G7" s="6" t="n">
        <f aca="false">C7*E7</f>
        <v>2423</v>
      </c>
      <c r="H7" s="6" t="n">
        <f aca="false">G7-F7</f>
        <v>-1172</v>
      </c>
      <c r="I7" s="10" t="n">
        <f aca="false">IF(F7=0,"n/a",H7/F7)</f>
        <v>-0.326008344923505</v>
      </c>
      <c r="J7" s="10" t="n">
        <f aca="false">G7/$G$33</f>
        <v>0.0419286620861163</v>
      </c>
    </row>
    <row r="8" customFormat="false" ht="15" hidden="false" customHeight="false" outlineLevel="0" collapsed="false">
      <c r="A8" s="4" t="s">
        <v>32</v>
      </c>
      <c r="B8" s="4" t="s">
        <v>39</v>
      </c>
      <c r="C8" s="9" t="n">
        <v>100</v>
      </c>
      <c r="D8" s="5" t="n">
        <v>133.59</v>
      </c>
      <c r="E8" s="5" t="n">
        <v>21.1</v>
      </c>
      <c r="F8" s="6" t="n">
        <f aca="false">C8*D8</f>
        <v>13359</v>
      </c>
      <c r="G8" s="6" t="n">
        <f aca="false">C8*E8</f>
        <v>2110</v>
      </c>
      <c r="H8" s="6" t="n">
        <f aca="false">G8-F8</f>
        <v>-11249</v>
      </c>
      <c r="I8" s="10" t="n">
        <f aca="false">IF(F8=0,"n/a",H8/F8)</f>
        <v>-0.842054045961524</v>
      </c>
      <c r="J8" s="10" t="n">
        <f aca="false">G8/$G$33</f>
        <v>0.0365123718537785</v>
      </c>
    </row>
    <row r="9" customFormat="false" ht="15" hidden="false" customHeight="false" outlineLevel="0" collapsed="false">
      <c r="A9" s="4" t="s">
        <v>32</v>
      </c>
      <c r="B9" s="4" t="s">
        <v>40</v>
      </c>
      <c r="C9" s="9" t="n">
        <v>301</v>
      </c>
      <c r="D9" s="5" t="n">
        <v>11.78</v>
      </c>
      <c r="E9" s="5" t="n">
        <v>6.86</v>
      </c>
      <c r="F9" s="6" t="n">
        <f aca="false">C9*D9</f>
        <v>3545.78</v>
      </c>
      <c r="G9" s="6" t="n">
        <f aca="false">C9*E9</f>
        <v>2064.86</v>
      </c>
      <c r="H9" s="6" t="n">
        <f aca="false">G9-F9</f>
        <v>-1480.92</v>
      </c>
      <c r="I9" s="10" t="n">
        <f aca="false">IF(F9=0,"n/a",H9/F9)</f>
        <v>-0.417657045840407</v>
      </c>
      <c r="J9" s="10" t="n">
        <f aca="false">G9/$G$33</f>
        <v>0.0357312493582906</v>
      </c>
    </row>
    <row r="10" customFormat="false" ht="15" hidden="false" customHeight="false" outlineLevel="0" collapsed="false">
      <c r="A10" s="4" t="s">
        <v>32</v>
      </c>
      <c r="B10" s="4" t="s">
        <v>41</v>
      </c>
      <c r="C10" s="9" t="n">
        <v>100.542931</v>
      </c>
      <c r="D10" s="5" t="n">
        <v>14.92</v>
      </c>
      <c r="E10" s="5" t="n">
        <v>14.325</v>
      </c>
      <c r="F10" s="6" t="n">
        <f aca="false">C10*D10</f>
        <v>1500.10053052</v>
      </c>
      <c r="G10" s="6" t="n">
        <f aca="false">C10*E10</f>
        <v>1440.277486575</v>
      </c>
      <c r="H10" s="6" t="n">
        <f aca="false">G10-F10</f>
        <v>-59.8230439450001</v>
      </c>
      <c r="I10" s="10" t="n">
        <f aca="false">IF(F10=0,"n/a",H10/F10)</f>
        <v>-0.0398793565683647</v>
      </c>
      <c r="J10" s="10" t="n">
        <f aca="false">G10/$G$33</f>
        <v>0.0249231977073232</v>
      </c>
    </row>
    <row r="11" customFormat="false" ht="15" hidden="false" customHeight="false" outlineLevel="0" collapsed="false">
      <c r="A11" s="4" t="s">
        <v>32</v>
      </c>
      <c r="B11" s="4" t="s">
        <v>42</v>
      </c>
      <c r="C11" s="9" t="n">
        <v>200</v>
      </c>
      <c r="D11" s="5" t="n">
        <v>17.6</v>
      </c>
      <c r="E11" s="5" t="n">
        <v>5.895</v>
      </c>
      <c r="F11" s="6" t="n">
        <f aca="false">C11*D11</f>
        <v>3520</v>
      </c>
      <c r="G11" s="6" t="n">
        <f aca="false">C11*E11</f>
        <v>1179</v>
      </c>
      <c r="H11" s="6" t="n">
        <f aca="false">G11-F11</f>
        <v>-2341</v>
      </c>
      <c r="I11" s="10" t="n">
        <f aca="false">IF(F11=0,"n/a",H11/F11)</f>
        <v>-0.665056818181818</v>
      </c>
      <c r="J11" s="10" t="n">
        <f aca="false">G11/$G$33</f>
        <v>0.0204019366898601</v>
      </c>
    </row>
    <row r="12" customFormat="false" ht="15" hidden="false" customHeight="false" outlineLevel="0" collapsed="false">
      <c r="A12" s="4" t="s">
        <v>32</v>
      </c>
      <c r="B12" s="4" t="s">
        <v>43</v>
      </c>
      <c r="C12" s="9" t="n">
        <v>6</v>
      </c>
      <c r="D12" s="5" t="n">
        <v>159.71</v>
      </c>
      <c r="E12" s="5" t="n">
        <v>145.4</v>
      </c>
      <c r="F12" s="6" t="n">
        <f aca="false">C12*D12</f>
        <v>958.26</v>
      </c>
      <c r="G12" s="6" t="n">
        <f aca="false">C12*E12</f>
        <v>872.4</v>
      </c>
      <c r="H12" s="6" t="n">
        <f aca="false">G12-F12</f>
        <v>-85.8599999999999</v>
      </c>
      <c r="I12" s="10" t="n">
        <f aca="false">IF(F12=0,"n/a",H12/F12)</f>
        <v>-0.0895998998184208</v>
      </c>
      <c r="J12" s="10" t="n">
        <f aca="false">G12/$G$33</f>
        <v>0.0150963948839983</v>
      </c>
    </row>
    <row r="13" customFormat="false" ht="15" hidden="false" customHeight="false" outlineLevel="0" collapsed="false">
      <c r="A13" s="4" t="s">
        <v>32</v>
      </c>
      <c r="B13" s="4" t="s">
        <v>44</v>
      </c>
      <c r="C13" s="9" t="n">
        <v>100</v>
      </c>
      <c r="D13" s="5" t="n">
        <v>11.65</v>
      </c>
      <c r="E13" s="5" t="n">
        <v>6.59</v>
      </c>
      <c r="F13" s="6" t="n">
        <f aca="false">C13*D13</f>
        <v>1165</v>
      </c>
      <c r="G13" s="6" t="n">
        <f aca="false">C13*E13</f>
        <v>659</v>
      </c>
      <c r="H13" s="6" t="n">
        <f aca="false">G13-F13</f>
        <v>-506</v>
      </c>
      <c r="I13" s="10" t="n">
        <f aca="false">IF(F13=0,"n/a",H13/F13)</f>
        <v>-0.434334763948498</v>
      </c>
      <c r="J13" s="10" t="n">
        <f aca="false">G13/$G$33</f>
        <v>0.011403627038692</v>
      </c>
    </row>
    <row r="14" customFormat="false" ht="15" hidden="false" customHeight="false" outlineLevel="0" collapsed="false">
      <c r="A14" s="4" t="s">
        <v>32</v>
      </c>
      <c r="B14" s="4" t="s">
        <v>45</v>
      </c>
      <c r="C14" s="9" t="n">
        <v>50</v>
      </c>
      <c r="D14" s="5" t="n">
        <v>16.83</v>
      </c>
      <c r="E14" s="5" t="n">
        <v>12.37</v>
      </c>
      <c r="F14" s="6" t="n">
        <f aca="false">C14*D14</f>
        <v>841.5</v>
      </c>
      <c r="G14" s="6" t="n">
        <f aca="false">C14*E14</f>
        <v>618.5</v>
      </c>
      <c r="H14" s="6" t="n">
        <f aca="false">G14-F14</f>
        <v>-223</v>
      </c>
      <c r="I14" s="10" t="n">
        <f aca="false">IF(F14=0,"n/a",H14/F14)</f>
        <v>-0.265002970885324</v>
      </c>
      <c r="J14" s="10" t="n">
        <f aca="false">G14/$G$33</f>
        <v>0.0107027971523991</v>
      </c>
    </row>
    <row r="15" customFormat="false" ht="15" hidden="false" customHeight="false" outlineLevel="0" collapsed="false">
      <c r="A15" s="4" t="s">
        <v>32</v>
      </c>
      <c r="B15" s="4" t="s">
        <v>46</v>
      </c>
      <c r="C15" s="9" t="n">
        <v>28.675205</v>
      </c>
      <c r="D15" s="5" t="n">
        <v>26.16</v>
      </c>
      <c r="E15" s="5" t="n">
        <v>20.345</v>
      </c>
      <c r="F15" s="6" t="n">
        <f aca="false">C15*D15</f>
        <v>750.1433628</v>
      </c>
      <c r="G15" s="6" t="n">
        <f aca="false">C15*E15</f>
        <v>583.397045725</v>
      </c>
      <c r="H15" s="6" t="n">
        <f aca="false">G15-F15</f>
        <v>-166.746317075</v>
      </c>
      <c r="I15" s="10" t="n">
        <f aca="false">IF(F15=0,"n/a",H15/F15)</f>
        <v>-0.222285932721713</v>
      </c>
      <c r="J15" s="10" t="n">
        <f aca="false">G15/$G$33</f>
        <v>0.0100953601288659</v>
      </c>
    </row>
    <row r="16" customFormat="false" ht="15" hidden="false" customHeight="false" outlineLevel="0" collapsed="false">
      <c r="A16" s="4" t="s">
        <v>32</v>
      </c>
      <c r="B16" s="4" t="s">
        <v>47</v>
      </c>
      <c r="C16" s="9" t="n">
        <v>50</v>
      </c>
      <c r="D16" s="5" t="n">
        <v>6.1</v>
      </c>
      <c r="E16" s="5" t="n">
        <v>8.31</v>
      </c>
      <c r="F16" s="6" t="n">
        <f aca="false">C16*D16</f>
        <v>305</v>
      </c>
      <c r="G16" s="6" t="n">
        <f aca="false">C16*E16</f>
        <v>415.5</v>
      </c>
      <c r="H16" s="6" t="n">
        <f aca="false">G16-F16</f>
        <v>110.5</v>
      </c>
      <c r="I16" s="10" t="n">
        <f aca="false">IF(F16=0,"n/a",H16/F16)</f>
        <v>0.362295081967213</v>
      </c>
      <c r="J16" s="10" t="n">
        <f aca="false">G16/$G$33</f>
        <v>0.00718999550011611</v>
      </c>
    </row>
    <row r="17" customFormat="false" ht="15" hidden="false" customHeight="false" outlineLevel="0" collapsed="false">
      <c r="A17" s="4" t="s">
        <v>32</v>
      </c>
      <c r="B17" s="4" t="s">
        <v>48</v>
      </c>
      <c r="C17" s="9" t="n">
        <v>1</v>
      </c>
      <c r="D17" s="5" t="n">
        <v>123.93</v>
      </c>
      <c r="E17" s="5" t="n">
        <v>222.76</v>
      </c>
      <c r="F17" s="6" t="n">
        <f aca="false">C17*D17</f>
        <v>123.93</v>
      </c>
      <c r="G17" s="6" t="n">
        <f aca="false">C17*E17</f>
        <v>222.76</v>
      </c>
      <c r="H17" s="6" t="n">
        <f aca="false">G17-F17</f>
        <v>98.83</v>
      </c>
      <c r="I17" s="10" t="n">
        <f aca="false">IF(F17=0,"n/a",H17/F17)</f>
        <v>0.797466311627532</v>
      </c>
      <c r="J17" s="10" t="n">
        <f aca="false">G17/$G$33</f>
        <v>0.00385473741902735</v>
      </c>
    </row>
    <row r="18" customFormat="false" ht="15" hidden="false" customHeight="false" outlineLevel="0" collapsed="false">
      <c r="A18" s="4" t="s">
        <v>32</v>
      </c>
      <c r="B18" s="4" t="s">
        <v>49</v>
      </c>
      <c r="C18" s="9" t="n">
        <v>1</v>
      </c>
      <c r="D18" s="5" t="n">
        <v>92.75</v>
      </c>
      <c r="E18" s="5" t="n">
        <v>219.64</v>
      </c>
      <c r="F18" s="6" t="n">
        <f aca="false">C18*D18</f>
        <v>92.75</v>
      </c>
      <c r="G18" s="6" t="n">
        <f aca="false">C18*E18</f>
        <v>219.64</v>
      </c>
      <c r="H18" s="6" t="n">
        <f aca="false">G18-F18</f>
        <v>126.89</v>
      </c>
      <c r="I18" s="10" t="n">
        <f aca="false">IF(F18=0,"n/a",H18/F18)</f>
        <v>1.36808625336927</v>
      </c>
      <c r="J18" s="10" t="n">
        <f aca="false">G18/$G$33</f>
        <v>0.00380074756112034</v>
      </c>
    </row>
    <row r="19" customFormat="false" ht="15" hidden="false" customHeight="false" outlineLevel="0" collapsed="false">
      <c r="A19" s="4" t="s">
        <v>32</v>
      </c>
      <c r="B19" s="4" t="s">
        <v>50</v>
      </c>
      <c r="C19" s="9" t="n">
        <v>2.54022</v>
      </c>
      <c r="D19" s="5" t="n">
        <v>118.1</v>
      </c>
      <c r="E19" s="5" t="n">
        <v>56.305</v>
      </c>
      <c r="F19" s="6" t="n">
        <f aca="false">C19*D19</f>
        <v>299.999982</v>
      </c>
      <c r="G19" s="6" t="n">
        <f aca="false">C19*E19</f>
        <v>143.0270871</v>
      </c>
      <c r="H19" s="6" t="n">
        <f aca="false">G19-F19</f>
        <v>-156.9728949</v>
      </c>
      <c r="I19" s="10" t="n">
        <f aca="false">IF(F19=0,"n/a",H19/F19)</f>
        <v>-0.523243014394581</v>
      </c>
      <c r="J19" s="10" t="n">
        <f aca="false">G19/$G$33</f>
        <v>0.00247500388121231</v>
      </c>
    </row>
    <row r="20" customFormat="false" ht="15" hidden="false" customHeight="false" outlineLevel="0" collapsed="false">
      <c r="A20" s="4" t="s">
        <v>32</v>
      </c>
      <c r="B20" s="4" t="s">
        <v>51</v>
      </c>
      <c r="C20" s="9" t="n">
        <v>5</v>
      </c>
      <c r="D20" s="5" t="n">
        <v>16.57</v>
      </c>
      <c r="E20" s="5" t="n">
        <v>14.96</v>
      </c>
      <c r="F20" s="6" t="n">
        <f aca="false">C20*D20</f>
        <v>82.85</v>
      </c>
      <c r="G20" s="6" t="n">
        <f aca="false">C20*E20</f>
        <v>74.8</v>
      </c>
      <c r="H20" s="6" t="n">
        <f aca="false">G20-F20</f>
        <v>-8.04999999999998</v>
      </c>
      <c r="I20" s="10" t="n">
        <f aca="false">IF(F20=0,"n/a",H20/F20)</f>
        <v>-0.0971635485817741</v>
      </c>
      <c r="J20" s="10" t="n">
        <f aca="false">G20/$G$33</f>
        <v>0.00129437223443727</v>
      </c>
    </row>
    <row r="21" customFormat="false" ht="15" hidden="false" customHeight="false" outlineLevel="0" collapsed="false">
      <c r="A21" s="4" t="s">
        <v>32</v>
      </c>
      <c r="B21" s="4" t="s">
        <v>52</v>
      </c>
      <c r="C21" s="9" t="n">
        <v>5</v>
      </c>
      <c r="D21" s="5" t="n">
        <v>7.73</v>
      </c>
      <c r="E21" s="5" t="n">
        <v>13.455</v>
      </c>
      <c r="F21" s="6" t="n">
        <f aca="false">C21*D21</f>
        <v>38.65</v>
      </c>
      <c r="G21" s="6" t="n">
        <f aca="false">C21*E21</f>
        <v>67.275</v>
      </c>
      <c r="H21" s="6" t="n">
        <f aca="false">G21-F21</f>
        <v>28.625</v>
      </c>
      <c r="I21" s="10" t="n">
        <f aca="false">IF(F21=0,"n/a",H21/F21)</f>
        <v>0.740620957309185</v>
      </c>
      <c r="J21" s="10" t="n">
        <f aca="false">G21/$G$33</f>
        <v>0.00116415631111988</v>
      </c>
    </row>
    <row r="22" customFormat="false" ht="15" hidden="false" customHeight="false" outlineLevel="0" collapsed="false">
      <c r="A22" s="4" t="s">
        <v>32</v>
      </c>
      <c r="B22" s="4" t="s">
        <v>53</v>
      </c>
      <c r="C22" s="9" t="n">
        <v>5</v>
      </c>
      <c r="D22" s="5" t="n">
        <v>12.8</v>
      </c>
      <c r="E22" s="5" t="n">
        <v>12.59</v>
      </c>
      <c r="F22" s="6" t="n">
        <f aca="false">C22*D22</f>
        <v>64</v>
      </c>
      <c r="G22" s="6" t="n">
        <f aca="false">C22*E22</f>
        <v>62.95</v>
      </c>
      <c r="H22" s="6" t="n">
        <f aca="false">G22-F22</f>
        <v>-1.05</v>
      </c>
      <c r="I22" s="10" t="n">
        <f aca="false">IF(F22=0,"n/a",H22/F22)</f>
        <v>-0.01640625</v>
      </c>
      <c r="J22" s="10" t="n">
        <f aca="false">G22/$G$33</f>
        <v>0.00108931460104045</v>
      </c>
    </row>
    <row r="23" customFormat="false" ht="15" hidden="false" customHeight="false" outlineLevel="0" collapsed="false">
      <c r="A23" s="4" t="s">
        <v>32</v>
      </c>
      <c r="B23" s="4" t="s">
        <v>54</v>
      </c>
      <c r="C23" s="9" t="n">
        <v>1</v>
      </c>
      <c r="D23" s="5" t="n">
        <v>43.7</v>
      </c>
      <c r="E23" s="5" t="n">
        <v>41.1</v>
      </c>
      <c r="F23" s="6" t="n">
        <f aca="false">C23*D23</f>
        <v>43.7</v>
      </c>
      <c r="G23" s="6" t="n">
        <f aca="false">C23*E23</f>
        <v>41.1</v>
      </c>
      <c r="H23" s="6" t="n">
        <f aca="false">G23-F23</f>
        <v>-2.6</v>
      </c>
      <c r="I23" s="10" t="n">
        <f aca="false">IF(F23=0,"n/a",H23/F23)</f>
        <v>-0.0594965675057209</v>
      </c>
      <c r="J23" s="10" t="n">
        <f aca="false">G23/$G$33</f>
        <v>0.000711212551275023</v>
      </c>
    </row>
    <row r="24" customFormat="false" ht="15" hidden="false" customHeight="false" outlineLevel="0" collapsed="false">
      <c r="A24" s="4" t="s">
        <v>32</v>
      </c>
      <c r="B24" s="4" t="s">
        <v>55</v>
      </c>
      <c r="C24" s="9" t="n">
        <v>1</v>
      </c>
      <c r="D24" s="5" t="n">
        <v>26.63</v>
      </c>
      <c r="E24" s="5" t="n">
        <v>24.89</v>
      </c>
      <c r="F24" s="6" t="n">
        <f aca="false">C24*D24</f>
        <v>26.63</v>
      </c>
      <c r="G24" s="6" t="n">
        <f aca="false">C24*E24</f>
        <v>24.89</v>
      </c>
      <c r="H24" s="6" t="n">
        <f aca="false">G24-F24</f>
        <v>-1.74</v>
      </c>
      <c r="I24" s="10" t="n">
        <f aca="false">IF(F24=0,"n/a",H24/F24)</f>
        <v>-0.0653398422831393</v>
      </c>
      <c r="J24" s="10" t="n">
        <f aca="false">G24/$G$33</f>
        <v>0.000430707552341492</v>
      </c>
    </row>
    <row r="25" customFormat="false" ht="15" hidden="false" customHeight="false" outlineLevel="0" collapsed="false">
      <c r="A25" s="4" t="s">
        <v>32</v>
      </c>
      <c r="B25" s="4" t="s">
        <v>56</v>
      </c>
      <c r="C25" s="9" t="n">
        <v>1</v>
      </c>
      <c r="D25" s="5" t="n">
        <v>16.52</v>
      </c>
      <c r="E25" s="5" t="n">
        <v>12.845</v>
      </c>
      <c r="F25" s="6" t="n">
        <f aca="false">C25*D25</f>
        <v>16.52</v>
      </c>
      <c r="G25" s="6" t="n">
        <f aca="false">C25*E25</f>
        <v>12.845</v>
      </c>
      <c r="H25" s="6" t="n">
        <f aca="false">G25-F25</f>
        <v>-3.675</v>
      </c>
      <c r="I25" s="10" t="n">
        <f aca="false">IF(F25=0,"n/a",H25/F25)</f>
        <v>-0.222457627118644</v>
      </c>
      <c r="J25" s="10" t="n">
        <f aca="false">G25/$G$33</f>
        <v>0.000222275552825491</v>
      </c>
    </row>
    <row r="26" customFormat="false" ht="15" hidden="false" customHeight="false" outlineLevel="0" collapsed="false">
      <c r="A26" s="4" t="s">
        <v>32</v>
      </c>
      <c r="B26" s="4" t="s">
        <v>57</v>
      </c>
      <c r="C26" s="9" t="n">
        <v>2</v>
      </c>
      <c r="D26" s="5" t="n">
        <v>15.12</v>
      </c>
      <c r="E26" s="5" t="n">
        <v>4.385</v>
      </c>
      <c r="F26" s="6" t="n">
        <f aca="false">C26*D26</f>
        <v>30.24</v>
      </c>
      <c r="G26" s="6" t="n">
        <f aca="false">C26*E26</f>
        <v>8.77</v>
      </c>
      <c r="H26" s="6" t="n">
        <f aca="false">G26-F26</f>
        <v>-21.47</v>
      </c>
      <c r="I26" s="10" t="n">
        <f aca="false">IF(F26=0,"n/a",H26/F26)</f>
        <v>-0.709986772486772</v>
      </c>
      <c r="J26" s="10" t="n">
        <f aca="false">G26/$G$33</f>
        <v>0.000151759953155279</v>
      </c>
    </row>
    <row r="27" customFormat="false" ht="15" hidden="false" customHeight="false" outlineLevel="0" collapsed="false">
      <c r="A27" s="4" t="s">
        <v>32</v>
      </c>
      <c r="B27" s="4" t="s">
        <v>58</v>
      </c>
      <c r="C27" s="9" t="n">
        <v>0.027138</v>
      </c>
      <c r="D27" s="5" t="n">
        <v>208.93</v>
      </c>
      <c r="E27" s="5" t="n">
        <v>315.33</v>
      </c>
      <c r="F27" s="6" t="n">
        <f aca="false">C27*D27</f>
        <v>5.66994234</v>
      </c>
      <c r="G27" s="6" t="n">
        <f aca="false">C27*E27</f>
        <v>8.55742554</v>
      </c>
      <c r="H27" s="6" t="n">
        <f aca="false">G27-F27</f>
        <v>2.8874832</v>
      </c>
      <c r="I27" s="10" t="n">
        <f aca="false">IF(F27=0,"n/a",H27/F27)</f>
        <v>0.509261475135213</v>
      </c>
      <c r="J27" s="10" t="n">
        <f aca="false">G27/$G$33</f>
        <v>0.000148081470818721</v>
      </c>
    </row>
    <row r="28" customFormat="false" ht="15" hidden="false" customHeight="false" outlineLevel="0" collapsed="false">
      <c r="A28" s="4" t="s">
        <v>32</v>
      </c>
      <c r="B28" s="4" t="s">
        <v>59</v>
      </c>
      <c r="C28" s="9" t="n">
        <v>1</v>
      </c>
      <c r="D28" s="5" t="n">
        <v>4.29</v>
      </c>
      <c r="E28" s="5" t="n">
        <v>3.34</v>
      </c>
      <c r="F28" s="6" t="n">
        <f aca="false">C28*D28</f>
        <v>4.29</v>
      </c>
      <c r="G28" s="6" t="n">
        <f aca="false">C28*E28</f>
        <v>3.34</v>
      </c>
      <c r="H28" s="6" t="n">
        <f aca="false">G28-F28</f>
        <v>-0.95</v>
      </c>
      <c r="I28" s="10" t="n">
        <f aca="false">IF(F28=0,"n/a",H28/F28)</f>
        <v>-0.221445221445222</v>
      </c>
      <c r="J28" s="10" t="n">
        <f aca="false">G28/$G$33</f>
        <v>5.77968350671186E-005</v>
      </c>
    </row>
    <row r="29" customFormat="false" ht="15" hidden="false" customHeight="false" outlineLevel="0" collapsed="false">
      <c r="A29" s="4" t="s">
        <v>32</v>
      </c>
      <c r="B29" s="4" t="s">
        <v>60</v>
      </c>
      <c r="C29" s="9" t="n">
        <v>2</v>
      </c>
      <c r="D29" s="5" t="n">
        <v>0</v>
      </c>
      <c r="E29" s="5" t="n">
        <v>0.0337</v>
      </c>
      <c r="F29" s="6" t="n">
        <f aca="false">C29*D29</f>
        <v>0</v>
      </c>
      <c r="G29" s="6" t="n">
        <f aca="false">C29*E29</f>
        <v>0.0674</v>
      </c>
      <c r="H29" s="6" t="n">
        <f aca="false">G29-F29</f>
        <v>0.0674</v>
      </c>
      <c r="I29" s="10" t="str">
        <f aca="false">IF(F29=0,"n/a",H29/F29)</f>
        <v>n/a</v>
      </c>
      <c r="J29" s="10" t="n">
        <f aca="false">G29/$G$33</f>
        <v>1.16631936632449E-006</v>
      </c>
    </row>
    <row r="30" customFormat="false" ht="15" hidden="false" customHeight="false" outlineLevel="0" collapsed="false">
      <c r="A30" s="4" t="s">
        <v>61</v>
      </c>
      <c r="B30" s="4" t="s">
        <v>62</v>
      </c>
      <c r="C30" s="9" t="n">
        <v>50.375386</v>
      </c>
      <c r="D30" s="5" t="n">
        <v>82.04</v>
      </c>
      <c r="E30" s="5" t="n">
        <v>76.59</v>
      </c>
      <c r="F30" s="6" t="n">
        <f aca="false">C30*D30</f>
        <v>4132.79666744</v>
      </c>
      <c r="G30" s="6" t="n">
        <f aca="false">C30*E30</f>
        <v>3858.25081374</v>
      </c>
      <c r="H30" s="6" t="n">
        <f aca="false">G30-F30</f>
        <v>-274.5458537</v>
      </c>
      <c r="I30" s="10" t="n">
        <f aca="false">IF(F30=0,"n/a",H30/F30)</f>
        <v>-0.0664310092637739</v>
      </c>
      <c r="J30" s="10" t="n">
        <f aca="false">G30/$G$33</f>
        <v>0.0667648760267386</v>
      </c>
    </row>
    <row r="31" customFormat="false" ht="15" hidden="false" customHeight="false" outlineLevel="0" collapsed="false">
      <c r="A31" s="4" t="s">
        <v>61</v>
      </c>
      <c r="B31" s="4" t="s">
        <v>63</v>
      </c>
      <c r="C31" s="9" t="n">
        <v>115.05701</v>
      </c>
      <c r="D31" s="5" t="n">
        <v>21.49</v>
      </c>
      <c r="E31" s="5" t="n">
        <v>14.77</v>
      </c>
      <c r="F31" s="6" t="n">
        <f aca="false">C31*D31</f>
        <v>2472.5751449</v>
      </c>
      <c r="G31" s="6" t="n">
        <f aca="false">C31*E31</f>
        <v>1699.3920377</v>
      </c>
      <c r="H31" s="6" t="n">
        <f aca="false">G31-F31</f>
        <v>-773.1831072</v>
      </c>
      <c r="I31" s="10" t="n">
        <f aca="false">IF(F31=0,"n/a",H31/F31)</f>
        <v>-0.312703583061889</v>
      </c>
      <c r="J31" s="10" t="n">
        <f aca="false">G31/$G$33</f>
        <v>0.0294070303345274</v>
      </c>
    </row>
    <row r="32" customFormat="false" ht="15" hidden="false" customHeight="false" outlineLevel="0" collapsed="false">
      <c r="A32" s="4" t="s">
        <v>61</v>
      </c>
      <c r="B32" s="4" t="s">
        <v>64</v>
      </c>
      <c r="C32" s="9" t="n">
        <v>28.916288</v>
      </c>
      <c r="D32" s="5" t="n">
        <v>56.99</v>
      </c>
      <c r="E32" s="5" t="n">
        <v>57.32</v>
      </c>
      <c r="F32" s="6" t="n">
        <f aca="false">C32*D32</f>
        <v>1647.93925312</v>
      </c>
      <c r="G32" s="6" t="n">
        <f aca="false">C32*E32</f>
        <v>1657.48162816</v>
      </c>
      <c r="H32" s="6" t="n">
        <f aca="false">G32-F32</f>
        <v>9.54237504000002</v>
      </c>
      <c r="I32" s="10" t="n">
        <f aca="false">IF(F32=0,"n/a",H32/F32)</f>
        <v>0.00579048955957187</v>
      </c>
      <c r="J32" s="10" t="n">
        <f aca="false">G32/$G$33</f>
        <v>0.0286817940986655</v>
      </c>
    </row>
    <row r="33" customFormat="false" ht="15" hidden="false" customHeight="false" outlineLevel="0" collapsed="false">
      <c r="A33" s="7" t="s">
        <v>65</v>
      </c>
      <c r="F33" s="8" t="n">
        <f aca="false">SUM(F2:F32)</f>
        <v>79710.84142019</v>
      </c>
      <c r="G33" s="8" t="n">
        <f aca="false">SUM(G2:G32)</f>
        <v>57788.631438405</v>
      </c>
      <c r="H33" s="8" t="n">
        <f aca="false">SUM(H2:H32)</f>
        <v>-21922.209981785</v>
      </c>
      <c r="I33" s="11" t="n">
        <f aca="false">H33/F33</f>
        <v>-0.275021685773252</v>
      </c>
    </row>
    <row r="35" customFormat="false" ht="15" hidden="false" customHeight="false" outlineLevel="0" collapsed="false">
      <c r="A35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11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3" t="s">
        <v>67</v>
      </c>
      <c r="B1" s="3" t="s">
        <v>68</v>
      </c>
      <c r="C1" s="3" t="s">
        <v>69</v>
      </c>
      <c r="D1" s="3" t="s">
        <v>70</v>
      </c>
      <c r="E1" s="3" t="s">
        <v>3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75</v>
      </c>
      <c r="K1" s="3" t="s">
        <v>76</v>
      </c>
    </row>
    <row r="2" customFormat="false" ht="15" hidden="false" customHeight="false" outlineLevel="0" collapsed="false">
      <c r="A2" s="4" t="s">
        <v>77</v>
      </c>
      <c r="B2" s="4" t="s">
        <v>78</v>
      </c>
      <c r="C2" s="4" t="s">
        <v>79</v>
      </c>
      <c r="D2" s="4" t="n">
        <v>7360</v>
      </c>
      <c r="E2" s="4" t="s">
        <v>80</v>
      </c>
      <c r="F2" s="4" t="s">
        <v>81</v>
      </c>
      <c r="G2" s="12" t="n">
        <v>3</v>
      </c>
      <c r="H2" s="5" t="n">
        <v>16.55</v>
      </c>
      <c r="I2" s="5" t="n">
        <v>3.3</v>
      </c>
      <c r="J2" s="6" t="n">
        <f aca="false">IF(F2="Short",(H2-I2),(I2-H2))*100*G2</f>
        <v>3975</v>
      </c>
      <c r="K2" s="13" t="n">
        <v>5370</v>
      </c>
    </row>
    <row r="3" customFormat="false" ht="15" hidden="false" customHeight="false" outlineLevel="0" collapsed="false">
      <c r="A3" s="4" t="s">
        <v>77</v>
      </c>
      <c r="B3" s="4" t="s">
        <v>78</v>
      </c>
      <c r="C3" s="4" t="s">
        <v>79</v>
      </c>
      <c r="D3" s="4" t="n">
        <v>7340</v>
      </c>
      <c r="E3" s="4" t="s">
        <v>80</v>
      </c>
      <c r="F3" s="4" t="s">
        <v>82</v>
      </c>
      <c r="G3" s="12" t="n">
        <v>3</v>
      </c>
      <c r="H3" s="5" t="n">
        <v>14.45</v>
      </c>
      <c r="I3" s="5" t="n">
        <v>2.75</v>
      </c>
      <c r="J3" s="6" t="n">
        <f aca="false">IF(F3="Short",(H3-I3),(I3-H3))*100*G3</f>
        <v>-3510</v>
      </c>
    </row>
    <row r="4" customFormat="false" ht="15" hidden="false" customHeight="false" outlineLevel="0" collapsed="false">
      <c r="A4" s="4" t="s">
        <v>83</v>
      </c>
      <c r="B4" s="4" t="s">
        <v>84</v>
      </c>
      <c r="C4" s="4" t="s">
        <v>85</v>
      </c>
      <c r="D4" s="4" t="n">
        <v>7250</v>
      </c>
      <c r="E4" s="4" t="s">
        <v>80</v>
      </c>
      <c r="F4" s="4" t="s">
        <v>81</v>
      </c>
      <c r="G4" s="12" t="n">
        <v>2</v>
      </c>
      <c r="H4" s="5" t="n">
        <v>46.45</v>
      </c>
      <c r="I4" s="5" t="n">
        <v>12.15</v>
      </c>
      <c r="J4" s="6" t="n">
        <f aca="false">IF(F4="Short",(H4-I4),(I4-H4))*100*G4</f>
        <v>6860</v>
      </c>
      <c r="K4" s="13" t="n">
        <v>2075</v>
      </c>
    </row>
    <row r="5" customFormat="false" ht="15" hidden="false" customHeight="false" outlineLevel="0" collapsed="false">
      <c r="A5" s="4" t="s">
        <v>83</v>
      </c>
      <c r="B5" s="4" t="s">
        <v>84</v>
      </c>
      <c r="C5" s="4" t="s">
        <v>85</v>
      </c>
      <c r="D5" s="4" t="n">
        <v>7200</v>
      </c>
      <c r="E5" s="4" t="s">
        <v>80</v>
      </c>
      <c r="F5" s="4" t="s">
        <v>82</v>
      </c>
      <c r="G5" s="12" t="n">
        <v>1</v>
      </c>
      <c r="H5" s="5" t="n">
        <v>38.55</v>
      </c>
      <c r="I5" s="5" t="n">
        <v>9.55</v>
      </c>
      <c r="J5" s="6" t="n">
        <f aca="false">IF(F5="Short",(H5-I5),(I5-H5))*100*G5</f>
        <v>-2900</v>
      </c>
    </row>
    <row r="6" customFormat="false" ht="15" hidden="false" customHeight="false" outlineLevel="0" collapsed="false">
      <c r="A6" s="4" t="s">
        <v>83</v>
      </c>
      <c r="B6" s="4" t="s">
        <v>84</v>
      </c>
      <c r="C6" s="4" t="s">
        <v>85</v>
      </c>
      <c r="D6" s="4" t="n">
        <v>7270</v>
      </c>
      <c r="E6" s="4" t="s">
        <v>80</v>
      </c>
      <c r="F6" s="4" t="s">
        <v>82</v>
      </c>
      <c r="G6" s="12" t="n">
        <v>1</v>
      </c>
      <c r="H6" s="5" t="n">
        <v>50.1</v>
      </c>
      <c r="I6" s="5" t="n">
        <v>13.35</v>
      </c>
      <c r="J6" s="6" t="n">
        <f aca="false">IF(F6="Short",(H6-I6),(I6-H6))*100*G6</f>
        <v>-3675</v>
      </c>
    </row>
    <row r="7" customFormat="false" ht="15" hidden="false" customHeight="false" outlineLevel="0" collapsed="false">
      <c r="A7" s="4" t="s">
        <v>86</v>
      </c>
      <c r="B7" s="4" t="s">
        <v>87</v>
      </c>
      <c r="C7" s="4" t="s">
        <v>79</v>
      </c>
      <c r="D7" s="4" t="n">
        <v>18</v>
      </c>
      <c r="E7" s="4" t="s">
        <v>88</v>
      </c>
      <c r="F7" s="4" t="s">
        <v>82</v>
      </c>
      <c r="G7" s="12" t="n">
        <v>1</v>
      </c>
      <c r="H7" s="5" t="n">
        <v>3.5</v>
      </c>
      <c r="I7" s="5" t="n">
        <v>2.85</v>
      </c>
      <c r="J7" s="6" t="n">
        <f aca="false">IF(F7="Short",(H7-I7),(I7-H7))*100*G7</f>
        <v>-65</v>
      </c>
      <c r="K7" s="13" t="n">
        <v>350</v>
      </c>
    </row>
    <row r="9" customFormat="false" ht="15" hidden="false" customHeight="false" outlineLevel="0" collapsed="false">
      <c r="A9" s="7" t="s">
        <v>65</v>
      </c>
      <c r="J9" s="8" t="n">
        <f aca="false">SUM(J2:J7)</f>
        <v>685.000000000001</v>
      </c>
      <c r="K9" s="8" t="n">
        <f aca="false">SUM(K2:K7)</f>
        <v>7795</v>
      </c>
    </row>
    <row r="11" customFormat="false" ht="15" hidden="false" customHeight="false" outlineLevel="0" collapsed="false">
      <c r="A11" s="2" t="s">
        <v>89</v>
      </c>
    </row>
    <row r="12" customFormat="false" ht="15" hidden="false" customHeight="false" outlineLevel="0" collapsed="false">
      <c r="A12" s="2" t="s">
        <v>90</v>
      </c>
    </row>
    <row r="13" customFormat="false" ht="15" hidden="false" customHeight="false" outlineLevel="0" collapsed="false">
      <c r="A13" s="2" t="s">
        <v>91</v>
      </c>
    </row>
    <row r="14" customFormat="false" ht="15" hidden="false" customHeight="false" outlineLevel="0" collapsed="false">
      <c r="A14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2026-07-11T13:26:28Z</dcterms:created>
  <dc:creator>openpyxl</dc:creator>
  <dc:description/>
  <dc:language>en-US</dc:language>
  <cp:lastModifiedBy/>
  <dcterms:modified xsi:type="dcterms:W3CDTF">2026-07-11T13:26:28Z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